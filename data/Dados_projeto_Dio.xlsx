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564a2d0d524d4/Doc/"/>
    </mc:Choice>
  </mc:AlternateContent>
  <xr:revisionPtr revIDLastSave="0" documentId="8_{9DA65440-EF2B-449D-A851-1D0D6AC088D1}" xr6:coauthVersionLast="47" xr6:coauthVersionMax="47" xr10:uidLastSave="{00000000-0000-0000-0000-000000000000}"/>
  <bookViews>
    <workbookView xWindow="-120" yWindow="-120" windowWidth="20730" windowHeight="11040" xr2:uid="{FE5BFAF7-8C3A-469F-8833-224D09D67F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M5" i="1" l="1"/>
  <c r="M6" i="1"/>
  <c r="M4" i="1"/>
  <c r="E8" i="1"/>
  <c r="F8" i="1" s="1"/>
  <c r="M3" i="1"/>
  <c r="M2" i="1"/>
  <c r="E7" i="1"/>
  <c r="F7" i="1"/>
  <c r="F6" i="1"/>
  <c r="E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<sst xmlns="http://schemas.openxmlformats.org/spreadsheetml/2006/main" count="24" uniqueCount="16">
  <si>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Compra</t>
  </si>
  <si>
    <t>Venda</t>
  </si>
  <si>
    <t>Juro11</t>
  </si>
  <si>
    <t>Quant</t>
  </si>
  <si>
    <t>unid</t>
  </si>
  <si>
    <t>total</t>
  </si>
  <si>
    <t>dt</t>
  </si>
  <si>
    <t>CPTI11</t>
  </si>
  <si>
    <t>Taxa</t>
  </si>
  <si>
    <t>MCCI11</t>
  </si>
  <si>
    <t>CDII11</t>
  </si>
  <si>
    <t>COIN11</t>
  </si>
  <si>
    <t>BRAVA</t>
  </si>
  <si>
    <t>CVC</t>
  </si>
  <si>
    <t>CEMIG</t>
  </si>
  <si>
    <t>JURO11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</si>
</sst>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14" fontId="2" fillId="0" borderId="0" xfId="0" applyNumberFormat="1" applyFont="1"/>
    <xf numFmtId="44" fontId="2" fillId="0" borderId="0" xfId="1" applyFont="1"/>
    <xf numFmtId="0" fontId="2" fillId="0" borderId="0" xfId="0" applyFont="1"/>
    <xf numFmtId="14" fontId="0" fillId="0" borderId="0" xfId="0" applyNumberFormat="1" applyFont="1"/>
    <xf numFmtId="0" fontId="0" fillId="0" borderId="0" xfId="0" applyFont="1"/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C9A7-203D-426F-AE62-A98414637063}">
  <dimension ref="A1:M17"/>
  <sheetViews>
    <sheetView tabSelected="1" workbookViewId="0">
      <selection activeCell="C17" sqref="C17"/>
    </sheetView>
  </sheetViews>
  <sheetFormatPr defaultRowHeight="15" x14ac:dyDescent="0.25"/>
  <cols>
    <col min="1" max="1" width="10.42578125" bestFit="1" customWidth="1"/>
    <col min="4" max="4" width="10.5703125" style="2" bestFit="1" customWidth="1"/>
    <col min="5" max="6" width="12.140625" style="2" bestFit="1" customWidth="1"/>
    <col min="8" max="8" width="10.42578125" bestFit="1" customWidth="1"/>
    <col min="9" max="9" width="10.5703125" bestFit="1" customWidth="1"/>
    <col min="11" max="12" width="10.5703125" style="2" bestFit="1" customWidth="1"/>
    <col min="13" max="13" width="13.28515625" style="2" bestFit="1" customWidth="1"/>
  </cols>
  <sheetData>
    <row r="1" spans="1:13" x14ac:dyDescent="0.25">
      <c r="A1" t="s">
        <v>6</v>
      </c>
      <c r="B1" t="s">
        <v>0</v>
      </c>
      <c r="C1" t="s">
        <v>3</v>
      </c>
      <c r="D1" s="2" t="s">
        <v>4</v>
      </c>
      <c r="E1" s="2" t="s">
        <v>8</v>
      </c>
      <c r="F1" s="2" t="s">
        <v>5</v>
      </c>
      <c r="H1" t="s">
        <v>6</v>
      </c>
      <c r="I1" t="s">
        <v>1</v>
      </c>
      <c r="J1" t="s">
        <v>3</v>
      </c>
      <c r="K1" s="2" t="s">
        <v>4</v>
      </c>
      <c r="L1" s="2" t="s">
        <v>8</v>
      </c>
      <c r="M1" s="2" t="s">
        <v>5</v>
      </c>
    </row>
    <row r="2" spans="1:13" x14ac:dyDescent="0.25">
      <c r="A2" s="1">
        <v>45713</v>
      </c>
      <c r="B2" t="s">
        <v>2</v>
      </c>
      <c r="C2">
        <v>4</v>
      </c>
      <c r="D2" s="2">
        <v>96.7</v>
      </c>
      <c r="E2" s="2">
        <v>0.1</v>
      </c>
      <c r="F2" s="2">
        <f>D2*C2+E2</f>
        <v>386.90000000000003</v>
      </c>
      <c r="H2" s="3">
        <v>45953</v>
      </c>
      <c r="I2" s="4" t="s">
        <v>12</v>
      </c>
      <c r="J2" s="5">
        <v>200</v>
      </c>
      <c r="K2" s="4">
        <v>14.87</v>
      </c>
      <c r="L2" s="4"/>
      <c r="M2" s="4">
        <f>K2*J2+L2</f>
        <v>2974</v>
      </c>
    </row>
    <row r="3" spans="1:13" x14ac:dyDescent="0.25">
      <c r="A3" s="6">
        <v>45677</v>
      </c>
      <c r="B3" s="7" t="s">
        <v>7</v>
      </c>
      <c r="C3" s="7">
        <v>4</v>
      </c>
      <c r="D3" s="2">
        <v>80.09</v>
      </c>
      <c r="E3" s="2">
        <v>0.09</v>
      </c>
      <c r="F3" s="2">
        <f>D3*C3+E3</f>
        <v>320.45</v>
      </c>
      <c r="H3" s="3">
        <v>45953</v>
      </c>
      <c r="I3" s="4" t="s">
        <v>13</v>
      </c>
      <c r="J3" s="5">
        <v>900</v>
      </c>
      <c r="K3" s="4">
        <v>1.68</v>
      </c>
      <c r="L3" s="4"/>
      <c r="M3" s="4">
        <f>K3*J3+L3</f>
        <v>1512</v>
      </c>
    </row>
    <row r="4" spans="1:13" x14ac:dyDescent="0.25">
      <c r="A4" s="1">
        <v>45660</v>
      </c>
      <c r="B4" t="s">
        <v>9</v>
      </c>
      <c r="C4">
        <v>5</v>
      </c>
      <c r="D4" s="2">
        <v>80</v>
      </c>
      <c r="E4" s="2">
        <v>0.12</v>
      </c>
      <c r="F4" s="2">
        <f>D4*C4+E4</f>
        <v>400.12</v>
      </c>
      <c r="H4" s="1">
        <v>46013</v>
      </c>
      <c r="I4" t="s">
        <v>9</v>
      </c>
      <c r="J4">
        <v>80</v>
      </c>
      <c r="K4" s="2">
        <v>88.5595</v>
      </c>
      <c r="M4" s="2">
        <f>K4*J4+L4</f>
        <v>7084.76</v>
      </c>
    </row>
    <row r="5" spans="1:13" x14ac:dyDescent="0.25">
      <c r="A5" s="1">
        <v>45803</v>
      </c>
      <c r="B5" t="s">
        <v>9</v>
      </c>
      <c r="C5">
        <v>6</v>
      </c>
      <c r="D5" s="2">
        <v>84.5</v>
      </c>
      <c r="E5" s="2">
        <v>0.14000000000000001</v>
      </c>
      <c r="F5" s="2">
        <f>D5*C5+E5</f>
        <v>507.14</v>
      </c>
      <c r="H5" s="1">
        <v>46013</v>
      </c>
      <c r="I5" t="s">
        <v>7</v>
      </c>
      <c r="J5">
        <v>59</v>
      </c>
      <c r="K5" s="2">
        <v>85.757800000000003</v>
      </c>
      <c r="M5" s="2">
        <f t="shared" ref="M5:M6" si="0">K5*J5+L5</f>
        <v>5059.7102000000004</v>
      </c>
    </row>
    <row r="6" spans="1:13" x14ac:dyDescent="0.25">
      <c r="A6" s="1">
        <v>45868</v>
      </c>
      <c r="B6" t="s">
        <v>10</v>
      </c>
      <c r="C6">
        <v>12</v>
      </c>
      <c r="D6" s="2">
        <v>107.4892</v>
      </c>
      <c r="E6" s="2">
        <f>0.32+0.06+2.33+1.31+21.83</f>
        <v>25.849999999999998</v>
      </c>
      <c r="F6" s="2">
        <f>D6*C6+E6</f>
        <v>1315.7203999999999</v>
      </c>
      <c r="H6" s="1">
        <v>46013</v>
      </c>
      <c r="I6" t="s">
        <v>15</v>
      </c>
      <c r="J6">
        <v>158</v>
      </c>
      <c r="K6" s="2">
        <v>101.2914</v>
      </c>
      <c r="M6" s="2">
        <f t="shared" si="0"/>
        <v>16004.0412</v>
      </c>
    </row>
    <row r="7" spans="1:13" x14ac:dyDescent="0.25">
      <c r="A7" s="6">
        <v>45988</v>
      </c>
      <c r="B7" s="7" t="s">
        <v>11</v>
      </c>
      <c r="C7" s="7">
        <v>50</v>
      </c>
      <c r="D7" s="2">
        <v>66.352199999999996</v>
      </c>
      <c r="E7" s="2">
        <f>0.74+0.16+0.08+41.8+4.46+2.51</f>
        <v>49.749999999999993</v>
      </c>
      <c r="F7" s="2">
        <f>D7*C7+E7</f>
        <v>3367.3599999999997</v>
      </c>
    </row>
    <row r="8" spans="1:13" x14ac:dyDescent="0.25">
      <c r="A8" s="1">
        <v>45966</v>
      </c>
      <c r="B8" t="s">
        <v>14</v>
      </c>
      <c r="C8">
        <v>200</v>
      </c>
      <c r="D8" s="2">
        <v>11.555</v>
      </c>
      <c r="E8" s="2">
        <f>0.51+0.11+0.06+33.17+3.54+1.99</f>
        <v>39.380000000000003</v>
      </c>
      <c r="F8" s="2">
        <f>D8*C8+E8</f>
        <v>2350.38</v>
      </c>
    </row>
    <row r="12" spans="1:13" ht="15.75" x14ac:dyDescent="0.25">
      <c r="E12" s="8"/>
    </row>
    <row r="17" spans="3:3" x14ac:dyDescent="0.25">
      <c r="C17">
        <f>87.6*45</f>
        <v>3941.9999999999995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Cassia Silva</dc:creator>
  <cp:lastModifiedBy>Cassia Silva</cp:lastModifiedBy>
  <dcterms:created xsi:type="dcterms:W3CDTF">2026-04-09T23:04:47Z</dcterms:created>
  <dcterms:modified xsi:type="dcterms:W3CDTF">2026-04-10T02:04:18Z</dcterms:modified>
</cp:coreProperties>
</file>